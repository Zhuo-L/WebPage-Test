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<sst xmlns="http://schemas.openxmlformats.org/spreadsheetml/2006/main" count="108" uniqueCount="73">
  <si>
    <t>Size</t>
  </si>
  <si>
    <t>Provider</t>
  </si>
  <si>
    <t>FrontierScience-Olympiad</t>
  </si>
  <si>
    <t>FrontierScience-Research</t>
  </si>
  <si>
    <t>HiPhO</t>
  </si>
  <si>
    <t>HLE</t>
  </si>
  <si>
    <t>CMT</t>
  </si>
  <si>
    <t>CritPt</t>
  </si>
  <si>
    <t>IMO-AnswerBench</t>
  </si>
  <si>
    <t>AMOBench</t>
  </si>
  <si>
    <t>Avg</t>
  </si>
  <si>
    <t>GPT-5.5 (xhigh)</t>
  </si>
  <si>
    <t>9.7T</t>
  </si>
  <si>
    <t>OpenAI</t>
  </si>
  <si>
    <t>GPT-5.4 (xhigh)</t>
  </si>
  <si>
    <t>2.2T</t>
  </si>
  <si>
    <t>Gemini-3.1-Pro-Preview</t>
  </si>
  <si>
    <t>9.0T</t>
  </si>
  <si>
    <t>Google</t>
  </si>
  <si>
    <t>Gemini-3.5-Flash-Thinking</t>
  </si>
  <si>
    <t>6.6T</t>
  </si>
  <si>
    <t>Gemma-4-31B</t>
  </si>
  <si>
    <t>31B</t>
  </si>
  <si>
    <t>Gemma</t>
  </si>
  <si>
    <t>Claude-Opus-4.8-Thinking</t>
  </si>
  <si>
    <t>936B</t>
  </si>
  <si>
    <t>Claude</t>
  </si>
  <si>
    <t>Claude-Opus-4.8</t>
  </si>
  <si>
    <t>573B</t>
  </si>
  <si>
    <t>DeepSeek-V4-Pro (Max)</t>
  </si>
  <si>
    <t>1.6T</t>
  </si>
  <si>
    <t>DeepSeek</t>
  </si>
  <si>
    <t>DeepSeek-V4-Flash (Max)</t>
  </si>
  <si>
    <t>284B</t>
  </si>
  <si>
    <t>Kimi-K2.6</t>
  </si>
  <si>
    <t>1T</t>
  </si>
  <si>
    <t>Kimi</t>
  </si>
  <si>
    <t>Kimi-K2.5</t>
  </si>
  <si>
    <t>GLM-5.2</t>
  </si>
  <si>
    <t>744B</t>
  </si>
  <si>
    <t>GLM</t>
  </si>
  <si>
    <t>GLM-5.1</t>
  </si>
  <si>
    <t>GLM-5</t>
  </si>
  <si>
    <t>MiniMax-M3</t>
  </si>
  <si>
    <t>428B</t>
  </si>
  <si>
    <t>MiniMax</t>
  </si>
  <si>
    <t>-</t>
  </si>
  <si>
    <t>MiniMax-M2.7</t>
  </si>
  <si>
    <t>229B</t>
  </si>
  <si>
    <t>Qwen3.7-Max</t>
  </si>
  <si>
    <t>685B</t>
  </si>
  <si>
    <t>Qwen</t>
  </si>
  <si>
    <t>Qwen3.6-Max-Preview</t>
  </si>
  <si>
    <t>Qwen3.6-Plus</t>
  </si>
  <si>
    <t>524B</t>
  </si>
  <si>
    <t>Qwen3.6-35B-A3B</t>
  </si>
  <si>
    <t>35B</t>
  </si>
  <si>
    <t>Qwen3.5-397B-A17B</t>
  </si>
  <si>
    <t>397B</t>
  </si>
  <si>
    <t>Qwen3.5-122B-A10B</t>
  </si>
  <si>
    <t>122B</t>
  </si>
  <si>
    <t>Qwen3.5-35B-A3B</t>
  </si>
  <si>
    <t>Intern-S2-Preview</t>
  </si>
  <si>
    <t>Shanghai AI Lab</t>
  </si>
  <si>
    <t>P1-VL-235B-A22B</t>
  </si>
  <si>
    <t>235B</t>
  </si>
  <si>
    <t>P1-VL-30B-A3B</t>
  </si>
  <si>
    <t>30B</t>
  </si>
  <si>
    <t>P1-235B-A22B</t>
  </si>
  <si>
    <t>P1-30B-A3B</t>
  </si>
  <si>
    <t>SU-01</t>
  </si>
  <si>
    <t>p1_rollout1_kimi2.6_subset_kimi_prompt_sft_qwen3.5_35b-0511-201941【带工具】</t>
  </si>
  <si>
    <t>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</si>
</sst>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b/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Border="1" applyProtection="1">
      <alignment vertical="center"/>
      <protection locked="0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 applyProtection="1">
      <alignment vertical="top"/>
      <protection locked="0"/>
    </xf>
    <xf numFmtId="0" fontId="2" fillId="2" borderId="0" xfId="0" applyFont="1" applyFill="1" applyBorder="1" applyAlignment="1">
      <alignment vertical="top"/>
    </xf>
    <xf numFmtId="176" fontId="2" fillId="2" borderId="0" xfId="0" applyNumberFormat="1" applyFont="1" applyFill="1" applyBorder="1" applyAlignment="1">
      <alignment horizontal="center" vertical="top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>
      <alignment vertical="top"/>
    </xf>
    <xf numFmtId="176" fontId="2" fillId="0" borderId="0" xfId="0" applyNumberFormat="1" applyFont="1" applyFill="1" applyBorder="1" applyAlignment="1">
      <alignment horizontal="center" vertical="top"/>
    </xf>
    <xf numFmtId="176" fontId="3" fillId="0" borderId="0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 applyProtection="1">
      <alignment vertical="top"/>
      <protection locked="0"/>
    </xf>
    <xf numFmtId="0" fontId="2" fillId="3" borderId="0" xfId="0" applyFont="1" applyFill="1" applyBorder="1" applyAlignment="1">
      <alignment vertical="top"/>
    </xf>
    <xf numFmtId="176" fontId="2" fillId="3" borderId="0" xfId="0" applyNumberFormat="1" applyFont="1" applyFill="1" applyBorder="1" applyAlignment="1">
      <alignment horizontal="center" vertical="top"/>
    </xf>
    <xf numFmtId="176" fontId="2" fillId="3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 applyProtection="1">
      <alignment vertical="top"/>
      <protection locked="0"/>
    </xf>
    <xf numFmtId="0" fontId="2" fillId="4" borderId="0" xfId="0" applyFont="1" applyFill="1" applyBorder="1" applyAlignment="1">
      <alignment vertical="top"/>
    </xf>
    <xf numFmtId="176" fontId="4" fillId="4" borderId="0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115" zoomScaleNormal="115" workbookViewId="0">
      <pane xSplit="1" topLeftCell="B1" activePane="topRight" state="frozen"/>
      <selection/>
      <selection pane="topRight" activeCell="B14" sqref="B14"/>
    </sheetView>
  </sheetViews>
  <sheetFormatPr defaultColWidth="8.88888888888889" defaultRowHeight="14.4"/>
  <cols>
    <col min="1" max="1" width="24.8888888888889" style="1" customWidth="1"/>
    <col min="2" max="2" width="9.66666666666667" style="2" customWidth="1"/>
    <col min="3" max="3" width="8.77777777777778" style="2" customWidth="1"/>
    <col min="4" max="10" width="8.88888888888889" style="2"/>
    <col min="11" max="11" width="10" style="2" customWidth="1"/>
    <col min="12" max="16384" width="8.88888888888889" style="2"/>
  </cols>
  <sheetData>
    <row r="1" spans="1:1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10</v>
      </c>
    </row>
    <row r="2" spans="1:12">
      <c r="A2" s="5" t="s">
        <v>11</v>
      </c>
      <c r="B2" s="6" t="s">
        <v>12</v>
      </c>
      <c r="C2" s="6" t="s">
        <v>13</v>
      </c>
      <c r="D2" s="7">
        <v>78</v>
      </c>
      <c r="E2" s="7">
        <v>26.67</v>
      </c>
      <c r="F2" s="7">
        <v>43.33</v>
      </c>
      <c r="G2" s="7">
        <v>52.2</v>
      </c>
      <c r="H2" s="7">
        <v>43</v>
      </c>
      <c r="I2" s="7">
        <v>27.1</v>
      </c>
      <c r="J2" s="7">
        <v>83.8</v>
      </c>
      <c r="K2" s="7">
        <v>70</v>
      </c>
      <c r="L2" s="8">
        <f>AVERAGE(D2:K2)</f>
        <v>53.0125</v>
      </c>
    </row>
    <row r="3" spans="1:12">
      <c r="A3" s="9" t="s">
        <v>14</v>
      </c>
      <c r="B3" s="10" t="s">
        <v>15</v>
      </c>
      <c r="C3" s="10" t="s">
        <v>13</v>
      </c>
      <c r="D3" s="11">
        <v>78</v>
      </c>
      <c r="E3" s="11">
        <v>33</v>
      </c>
      <c r="F3" s="11">
        <v>42.93</v>
      </c>
      <c r="G3" s="11">
        <v>52.1</v>
      </c>
      <c r="H3" s="11">
        <v>42</v>
      </c>
      <c r="I3" s="11">
        <v>23.4</v>
      </c>
      <c r="J3" s="11">
        <v>85.4</v>
      </c>
      <c r="K3" s="11">
        <v>66</v>
      </c>
      <c r="L3" s="12">
        <f t="shared" ref="L2:L6" si="0">AVERAGE(D3:K3)</f>
        <v>52.85375</v>
      </c>
    </row>
    <row r="4" spans="1:12">
      <c r="A4" s="5" t="s">
        <v>16</v>
      </c>
      <c r="B4" s="6" t="s">
        <v>17</v>
      </c>
      <c r="C4" s="6" t="s">
        <v>18</v>
      </c>
      <c r="D4" s="7">
        <v>77</v>
      </c>
      <c r="E4" s="7">
        <v>11.67</v>
      </c>
      <c r="F4" s="7">
        <v>43.4</v>
      </c>
      <c r="G4" s="7">
        <v>51.4</v>
      </c>
      <c r="H4" s="7">
        <v>43</v>
      </c>
      <c r="I4" s="7">
        <v>17.7</v>
      </c>
      <c r="J4" s="7">
        <v>90</v>
      </c>
      <c r="K4" s="13">
        <v>63.1</v>
      </c>
      <c r="L4" s="8">
        <f t="shared" si="0"/>
        <v>49.65875</v>
      </c>
    </row>
    <row r="5" spans="1:12">
      <c r="A5" s="5" t="s">
        <v>19</v>
      </c>
      <c r="B5" s="6" t="s">
        <v>20</v>
      </c>
      <c r="C5" s="6" t="s">
        <v>18</v>
      </c>
      <c r="D5" s="7">
        <v>76</v>
      </c>
      <c r="E5" s="7">
        <v>16.67</v>
      </c>
      <c r="F5" s="7">
        <v>43.45</v>
      </c>
      <c r="G5" s="7">
        <v>49</v>
      </c>
      <c r="H5" s="7">
        <v>35</v>
      </c>
      <c r="I5" s="7">
        <v>13.1</v>
      </c>
      <c r="J5" s="7">
        <v>87.25</v>
      </c>
      <c r="K5" s="7">
        <v>64</v>
      </c>
      <c r="L5" s="8">
        <f t="shared" si="0"/>
        <v>48.05875</v>
      </c>
    </row>
    <row r="6" spans="1:12">
      <c r="A6" s="14" t="s">
        <v>21</v>
      </c>
      <c r="B6" s="15" t="s">
        <v>22</v>
      </c>
      <c r="C6" s="15" t="s">
        <v>23</v>
      </c>
      <c r="D6" s="16">
        <v>64.75</v>
      </c>
      <c r="E6" s="16">
        <v>2.08</v>
      </c>
      <c r="F6" s="16">
        <v>33.24</v>
      </c>
      <c r="G6" s="16">
        <v>26.5</v>
      </c>
      <c r="H6" s="16">
        <v>18</v>
      </c>
      <c r="I6" s="16">
        <v>1.4</v>
      </c>
      <c r="J6" s="16">
        <v>74</v>
      </c>
      <c r="K6" s="16">
        <v>39.3</v>
      </c>
      <c r="L6" s="8">
        <f t="shared" si="0"/>
        <v>32.40875</v>
      </c>
    </row>
    <row r="7" spans="1:12">
      <c r="A7" s="5" t="s">
        <v>24</v>
      </c>
      <c r="B7" s="6" t="s">
        <v>25</v>
      </c>
      <c r="C7" s="6" t="s">
        <v>26</v>
      </c>
      <c r="D7" s="7">
        <v>75</v>
      </c>
      <c r="E7" s="7">
        <v>26.67</v>
      </c>
      <c r="F7" s="7">
        <v>46.37</v>
      </c>
      <c r="G7" s="7">
        <v>57.9</v>
      </c>
      <c r="H7" s="7">
        <v>46</v>
      </c>
      <c r="I7" s="7">
        <v>20.9</v>
      </c>
      <c r="J7" s="7">
        <v>86.75</v>
      </c>
      <c r="K7" s="7">
        <v>74</v>
      </c>
      <c r="L7" s="8">
        <f t="shared" ref="L7:L20" si="1">AVERAGE(D7:K7)</f>
        <v>54.19875</v>
      </c>
    </row>
    <row r="8" spans="1:12">
      <c r="A8" s="5" t="s">
        <v>27</v>
      </c>
      <c r="B8" s="6" t="s">
        <v>28</v>
      </c>
      <c r="C8" s="6" t="s">
        <v>26</v>
      </c>
      <c r="D8" s="7">
        <v>74</v>
      </c>
      <c r="E8" s="7">
        <v>12.5</v>
      </c>
      <c r="F8" s="7">
        <v>44.54</v>
      </c>
      <c r="G8" s="7"/>
      <c r="H8" s="7">
        <v>28</v>
      </c>
      <c r="I8" s="7"/>
      <c r="J8" s="7">
        <v>86.75</v>
      </c>
      <c r="K8" s="7">
        <v>72</v>
      </c>
      <c r="L8" s="12">
        <f t="shared" si="1"/>
        <v>52.965</v>
      </c>
    </row>
    <row r="9" spans="1:12">
      <c r="A9" s="14" t="s">
        <v>29</v>
      </c>
      <c r="B9" s="15" t="s">
        <v>30</v>
      </c>
      <c r="C9" s="15" t="s">
        <v>31</v>
      </c>
      <c r="D9" s="16">
        <v>76</v>
      </c>
      <c r="E9" s="16">
        <v>13.33</v>
      </c>
      <c r="F9" s="16">
        <v>38.69</v>
      </c>
      <c r="G9" s="16">
        <v>48.2</v>
      </c>
      <c r="H9" s="16">
        <v>28</v>
      </c>
      <c r="I9" s="16">
        <v>7.1</v>
      </c>
      <c r="J9" s="16">
        <v>89.8</v>
      </c>
      <c r="K9" s="16">
        <v>68</v>
      </c>
      <c r="L9" s="8">
        <f t="shared" si="1"/>
        <v>46.14</v>
      </c>
    </row>
    <row r="10" spans="1:12">
      <c r="A10" s="14" t="s">
        <v>32</v>
      </c>
      <c r="B10" s="15" t="s">
        <v>33</v>
      </c>
      <c r="C10" s="15" t="s">
        <v>31</v>
      </c>
      <c r="D10" s="16">
        <v>77</v>
      </c>
      <c r="E10" s="16">
        <v>8.33</v>
      </c>
      <c r="F10" s="16">
        <v>37.41</v>
      </c>
      <c r="G10" s="16">
        <v>45.1</v>
      </c>
      <c r="H10" s="16">
        <v>28</v>
      </c>
      <c r="I10" s="16">
        <v>7.1</v>
      </c>
      <c r="J10" s="16">
        <v>88.4</v>
      </c>
      <c r="K10" s="16">
        <v>68</v>
      </c>
      <c r="L10" s="8">
        <f t="shared" si="1"/>
        <v>44.9175</v>
      </c>
    </row>
    <row r="11" spans="1:12">
      <c r="A11" s="14" t="s">
        <v>34</v>
      </c>
      <c r="B11" s="15" t="s">
        <v>35</v>
      </c>
      <c r="C11" s="15" t="s">
        <v>36</v>
      </c>
      <c r="D11" s="16">
        <v>73</v>
      </c>
      <c r="E11" s="16">
        <v>17.92</v>
      </c>
      <c r="F11" s="16">
        <v>41.05</v>
      </c>
      <c r="G11" s="16">
        <v>54</v>
      </c>
      <c r="H11" s="16">
        <v>44</v>
      </c>
      <c r="I11" s="16">
        <v>8</v>
      </c>
      <c r="J11" s="16">
        <v>82.25</v>
      </c>
      <c r="K11" s="16">
        <v>63.27</v>
      </c>
      <c r="L11" s="12">
        <f t="shared" si="1"/>
        <v>47.93625</v>
      </c>
    </row>
    <row r="12" spans="1:12">
      <c r="A12" s="9" t="s">
        <v>37</v>
      </c>
      <c r="B12" s="10" t="s">
        <v>35</v>
      </c>
      <c r="C12" s="10" t="s">
        <v>36</v>
      </c>
      <c r="D12" s="11">
        <v>71</v>
      </c>
      <c r="E12" s="11">
        <v>13.33</v>
      </c>
      <c r="F12" s="11">
        <v>39.25</v>
      </c>
      <c r="G12" s="8">
        <v>50.2</v>
      </c>
      <c r="H12" s="11">
        <v>20</v>
      </c>
      <c r="I12" s="11">
        <v>3.1</v>
      </c>
      <c r="J12" s="11">
        <v>81.8</v>
      </c>
      <c r="K12" s="11">
        <v>61.8</v>
      </c>
      <c r="L12" s="8">
        <f t="shared" si="1"/>
        <v>42.56</v>
      </c>
    </row>
    <row r="13" spans="1:12">
      <c r="A13" s="14" t="s">
        <v>38</v>
      </c>
      <c r="B13" s="15" t="s">
        <v>39</v>
      </c>
      <c r="C13" s="15" t="s">
        <v>40</v>
      </c>
      <c r="D13" s="16">
        <v>76.5</v>
      </c>
      <c r="E13" s="16">
        <v>15</v>
      </c>
      <c r="F13" s="16">
        <v>37.4</v>
      </c>
      <c r="G13" s="17">
        <v>54.7</v>
      </c>
      <c r="H13" s="16">
        <v>20</v>
      </c>
      <c r="I13" s="16">
        <v>20.9</v>
      </c>
      <c r="J13" s="16">
        <v>91</v>
      </c>
      <c r="K13" s="16">
        <v>54</v>
      </c>
      <c r="L13" s="8">
        <f t="shared" si="1"/>
        <v>46.1875</v>
      </c>
    </row>
    <row r="14" spans="1:12">
      <c r="A14" s="9" t="s">
        <v>41</v>
      </c>
      <c r="B14" s="10" t="s">
        <v>39</v>
      </c>
      <c r="C14" s="10" t="s">
        <v>40</v>
      </c>
      <c r="D14" s="11">
        <v>70</v>
      </c>
      <c r="E14" s="11">
        <v>10</v>
      </c>
      <c r="F14" s="11">
        <v>35.88</v>
      </c>
      <c r="G14" s="11">
        <v>52.3</v>
      </c>
      <c r="H14" s="11">
        <v>32</v>
      </c>
      <c r="I14" s="11">
        <v>4.6</v>
      </c>
      <c r="J14" s="11">
        <v>83.8</v>
      </c>
      <c r="K14" s="11">
        <v>47.37</v>
      </c>
      <c r="L14" s="8">
        <f t="shared" si="1"/>
        <v>41.99375</v>
      </c>
    </row>
    <row r="15" spans="1:12">
      <c r="A15" s="9" t="s">
        <v>42</v>
      </c>
      <c r="B15" s="10" t="s">
        <v>39</v>
      </c>
      <c r="C15" s="10" t="s">
        <v>40</v>
      </c>
      <c r="D15" s="11">
        <v>65.75</v>
      </c>
      <c r="E15" s="11">
        <v>8.75</v>
      </c>
      <c r="F15" s="11">
        <v>36.27</v>
      </c>
      <c r="G15" s="11">
        <v>50.4</v>
      </c>
      <c r="H15" s="11">
        <v>22</v>
      </c>
      <c r="I15" s="11">
        <v>2</v>
      </c>
      <c r="J15" s="11">
        <v>82.5</v>
      </c>
      <c r="K15" s="11">
        <v>48.99</v>
      </c>
      <c r="L15" s="8">
        <f t="shared" si="1"/>
        <v>39.5825</v>
      </c>
    </row>
    <row r="16" spans="1:12">
      <c r="A16" s="14" t="s">
        <v>43</v>
      </c>
      <c r="B16" s="15" t="s">
        <v>44</v>
      </c>
      <c r="C16" s="15" t="s">
        <v>45</v>
      </c>
      <c r="D16" s="16">
        <v>55</v>
      </c>
      <c r="E16" s="16">
        <v>13.33</v>
      </c>
      <c r="F16" s="16">
        <v>33.9</v>
      </c>
      <c r="G16" s="16" t="s">
        <v>46</v>
      </c>
      <c r="H16" s="16">
        <v>20</v>
      </c>
      <c r="I16" s="16">
        <v>3.7</v>
      </c>
      <c r="J16" s="16">
        <v>82.5</v>
      </c>
      <c r="K16" s="16">
        <v>52</v>
      </c>
      <c r="L16" s="8">
        <f t="shared" si="1"/>
        <v>37.2042857142857</v>
      </c>
    </row>
    <row r="17" spans="1:12">
      <c r="A17" s="9" t="s">
        <v>47</v>
      </c>
      <c r="B17" s="10" t="s">
        <v>48</v>
      </c>
      <c r="C17" s="10" t="s">
        <v>45</v>
      </c>
      <c r="D17" s="11">
        <v>59.5</v>
      </c>
      <c r="E17" s="11">
        <v>7.08</v>
      </c>
      <c r="F17" s="11">
        <v>31.29</v>
      </c>
      <c r="G17" s="11" t="s">
        <v>46</v>
      </c>
      <c r="H17" s="11">
        <v>10</v>
      </c>
      <c r="I17" s="11">
        <v>0.6</v>
      </c>
      <c r="J17" s="11">
        <v>71.75</v>
      </c>
      <c r="K17" s="11">
        <v>50</v>
      </c>
      <c r="L17" s="12">
        <f t="shared" si="1"/>
        <v>32.8885714285714</v>
      </c>
    </row>
    <row r="18" spans="1:12">
      <c r="A18" s="5" t="s">
        <v>49</v>
      </c>
      <c r="B18" s="6" t="s">
        <v>50</v>
      </c>
      <c r="C18" s="6" t="s">
        <v>51</v>
      </c>
      <c r="D18" s="7">
        <v>80</v>
      </c>
      <c r="E18" s="7">
        <v>10</v>
      </c>
      <c r="F18" s="7">
        <v>38.84</v>
      </c>
      <c r="G18" s="7">
        <v>53.5</v>
      </c>
      <c r="H18" s="7">
        <v>34</v>
      </c>
      <c r="I18" s="7">
        <v>13.4</v>
      </c>
      <c r="J18" s="7">
        <v>90</v>
      </c>
      <c r="K18" s="7">
        <v>57.4</v>
      </c>
      <c r="L18" s="8">
        <f t="shared" si="1"/>
        <v>47.1425</v>
      </c>
    </row>
    <row r="19" spans="1:12">
      <c r="A19" s="9" t="s">
        <v>52</v>
      </c>
      <c r="B19" s="10" t="s">
        <v>50</v>
      </c>
      <c r="C19" s="10" t="s">
        <v>51</v>
      </c>
      <c r="D19" s="11">
        <v>69.25</v>
      </c>
      <c r="E19" s="11">
        <v>15</v>
      </c>
      <c r="F19" s="11">
        <v>36.53</v>
      </c>
      <c r="G19" s="11">
        <v>51</v>
      </c>
      <c r="H19" s="11">
        <v>28</v>
      </c>
      <c r="I19" s="11">
        <v>3.7</v>
      </c>
      <c r="J19" s="11">
        <v>76.75</v>
      </c>
      <c r="K19" s="11">
        <v>44</v>
      </c>
      <c r="L19" s="8">
        <f t="shared" si="1"/>
        <v>40.52875</v>
      </c>
    </row>
    <row r="20" spans="1:12">
      <c r="A20" s="9" t="s">
        <v>53</v>
      </c>
      <c r="B20" s="10" t="s">
        <v>54</v>
      </c>
      <c r="C20" s="10" t="s">
        <v>51</v>
      </c>
      <c r="D20" s="11">
        <v>66.25</v>
      </c>
      <c r="E20" s="11">
        <v>5.83</v>
      </c>
      <c r="F20" s="11">
        <v>40.89</v>
      </c>
      <c r="G20" s="11">
        <v>50.6</v>
      </c>
      <c r="H20" s="11">
        <v>26</v>
      </c>
      <c r="I20" s="11">
        <v>2.9</v>
      </c>
      <c r="J20" s="11">
        <v>75.5</v>
      </c>
      <c r="K20" s="11">
        <v>48</v>
      </c>
      <c r="L20" s="8">
        <f t="shared" si="1"/>
        <v>39.49625</v>
      </c>
    </row>
    <row r="21" spans="1:12">
      <c r="A21" s="14" t="s">
        <v>55</v>
      </c>
      <c r="B21" s="15" t="s">
        <v>56</v>
      </c>
      <c r="C21" s="15" t="s">
        <v>51</v>
      </c>
      <c r="D21" s="16">
        <v>60.25</v>
      </c>
      <c r="E21" s="16">
        <v>2.92</v>
      </c>
      <c r="F21" s="16">
        <v>37.74</v>
      </c>
      <c r="G21" s="16">
        <v>36.2</v>
      </c>
      <c r="H21" s="16">
        <v>20</v>
      </c>
      <c r="I21" s="16">
        <v>0.3</v>
      </c>
      <c r="J21" s="16">
        <v>78</v>
      </c>
      <c r="K21" s="16">
        <v>58.8</v>
      </c>
      <c r="L21" s="8">
        <f t="shared" ref="L21:L31" si="2">AVERAGE(D21:K21)</f>
        <v>36.77625</v>
      </c>
    </row>
    <row r="22" spans="1:12">
      <c r="A22" s="14" t="s">
        <v>57</v>
      </c>
      <c r="B22" s="15" t="s">
        <v>58</v>
      </c>
      <c r="C22" s="15" t="s">
        <v>51</v>
      </c>
      <c r="D22" s="16">
        <v>61.5</v>
      </c>
      <c r="E22" s="16">
        <v>2.92</v>
      </c>
      <c r="F22" s="16">
        <v>37.83</v>
      </c>
      <c r="G22" s="16">
        <v>48.3</v>
      </c>
      <c r="H22" s="16">
        <v>24</v>
      </c>
      <c r="I22" s="16">
        <v>1.7</v>
      </c>
      <c r="J22" s="16">
        <v>75.5</v>
      </c>
      <c r="K22" s="16">
        <v>56</v>
      </c>
      <c r="L22" s="8">
        <f t="shared" si="2"/>
        <v>38.46875</v>
      </c>
    </row>
    <row r="23" spans="1:12">
      <c r="A23" s="14" t="s">
        <v>59</v>
      </c>
      <c r="B23" s="15" t="s">
        <v>60</v>
      </c>
      <c r="C23" s="15" t="s">
        <v>51</v>
      </c>
      <c r="D23" s="16">
        <v>62.75</v>
      </c>
      <c r="E23" s="16">
        <v>5</v>
      </c>
      <c r="F23" s="16">
        <v>39</v>
      </c>
      <c r="G23" s="16">
        <v>47.5</v>
      </c>
      <c r="H23" s="16">
        <v>22</v>
      </c>
      <c r="I23" s="16">
        <v>0.6</v>
      </c>
      <c r="J23" s="16">
        <v>75.5</v>
      </c>
      <c r="K23" s="16">
        <v>44</v>
      </c>
      <c r="L23" s="8">
        <f t="shared" si="2"/>
        <v>37.04375</v>
      </c>
    </row>
    <row r="24" spans="1:12">
      <c r="A24" s="14" t="s">
        <v>61</v>
      </c>
      <c r="B24" s="15" t="s">
        <v>56</v>
      </c>
      <c r="C24" s="15" t="s">
        <v>51</v>
      </c>
      <c r="D24" s="16">
        <v>64.5</v>
      </c>
      <c r="E24" s="16">
        <v>2.5</v>
      </c>
      <c r="F24" s="16">
        <v>36.98</v>
      </c>
      <c r="G24" s="16">
        <v>47.4</v>
      </c>
      <c r="H24" s="16">
        <v>20</v>
      </c>
      <c r="I24" s="16">
        <v>0.9</v>
      </c>
      <c r="J24" s="16">
        <v>71</v>
      </c>
      <c r="K24" s="16">
        <v>46</v>
      </c>
      <c r="L24" s="8">
        <f t="shared" si="2"/>
        <v>36.16</v>
      </c>
    </row>
    <row r="25" spans="1:12">
      <c r="A25" s="14" t="s">
        <v>62</v>
      </c>
      <c r="B25" s="15" t="s">
        <v>56</v>
      </c>
      <c r="C25" s="15" t="s">
        <v>63</v>
      </c>
      <c r="D25" s="16">
        <v>60.33</v>
      </c>
      <c r="E25" s="16">
        <v>19.44</v>
      </c>
      <c r="F25" s="16">
        <v>37.1</v>
      </c>
      <c r="G25" s="16">
        <v>38.7</v>
      </c>
      <c r="H25" s="16">
        <v>4</v>
      </c>
      <c r="I25" s="16">
        <v>0</v>
      </c>
      <c r="J25" s="16">
        <v>82.5</v>
      </c>
      <c r="K25" s="16">
        <v>64</v>
      </c>
      <c r="L25" s="12">
        <f t="shared" si="2"/>
        <v>38.25875</v>
      </c>
    </row>
    <row r="26" spans="1:12">
      <c r="A26" s="9" t="s">
        <v>64</v>
      </c>
      <c r="B26" s="10" t="s">
        <v>65</v>
      </c>
      <c r="C26" s="10" t="s">
        <v>63</v>
      </c>
      <c r="D26" s="11">
        <v>64.25</v>
      </c>
      <c r="E26" s="11">
        <v>6.67</v>
      </c>
      <c r="F26" s="11">
        <v>39.31</v>
      </c>
      <c r="G26" s="11" t="s">
        <v>46</v>
      </c>
      <c r="H26" s="11">
        <v>14</v>
      </c>
      <c r="I26" s="11">
        <v>1.43</v>
      </c>
      <c r="J26" s="11">
        <v>70.6</v>
      </c>
      <c r="K26" s="11">
        <v>47.5</v>
      </c>
      <c r="L26" s="8">
        <f t="shared" si="2"/>
        <v>34.8228571428571</v>
      </c>
    </row>
    <row r="27" spans="1:12">
      <c r="A27" s="9" t="s">
        <v>66</v>
      </c>
      <c r="B27" s="10" t="s">
        <v>67</v>
      </c>
      <c r="C27" s="10" t="s">
        <v>63</v>
      </c>
      <c r="D27" s="11">
        <v>52.5</v>
      </c>
      <c r="E27" s="11">
        <v>4.6</v>
      </c>
      <c r="F27" s="11">
        <v>35</v>
      </c>
      <c r="G27" s="11" t="s">
        <v>46</v>
      </c>
      <c r="H27" s="11">
        <v>10</v>
      </c>
      <c r="I27" s="11">
        <v>0</v>
      </c>
      <c r="J27" s="11">
        <v>65.3</v>
      </c>
      <c r="K27" s="11">
        <v>44.5</v>
      </c>
      <c r="L27" s="8">
        <f t="shared" si="2"/>
        <v>30.2714285714286</v>
      </c>
    </row>
    <row r="28" spans="1:12">
      <c r="A28" s="9" t="s">
        <v>68</v>
      </c>
      <c r="B28" s="10" t="s">
        <v>65</v>
      </c>
      <c r="C28" s="10" t="s">
        <v>63</v>
      </c>
      <c r="D28" s="11">
        <v>62</v>
      </c>
      <c r="E28" s="11">
        <v>7.53</v>
      </c>
      <c r="F28" s="11">
        <v>35.9</v>
      </c>
      <c r="G28" s="11" t="s">
        <v>46</v>
      </c>
      <c r="H28" s="11">
        <v>16</v>
      </c>
      <c r="I28" s="11">
        <v>0</v>
      </c>
      <c r="J28" s="11">
        <v>70.8</v>
      </c>
      <c r="K28" s="11">
        <v>53.5</v>
      </c>
      <c r="L28" s="8">
        <f t="shared" si="2"/>
        <v>35.1042857142857</v>
      </c>
    </row>
    <row r="29" spans="1:12">
      <c r="A29" s="9" t="s">
        <v>69</v>
      </c>
      <c r="B29" s="10" t="s">
        <v>67</v>
      </c>
      <c r="C29" s="10" t="s">
        <v>63</v>
      </c>
      <c r="D29" s="11">
        <v>54.75</v>
      </c>
      <c r="E29" s="11">
        <v>4.17</v>
      </c>
      <c r="F29" s="11">
        <v>32.5</v>
      </c>
      <c r="G29" s="11" t="s">
        <v>46</v>
      </c>
      <c r="H29" s="11">
        <v>12</v>
      </c>
      <c r="I29" s="11">
        <v>0</v>
      </c>
      <c r="J29" s="11">
        <v>66.2</v>
      </c>
      <c r="K29" s="11">
        <v>44.3</v>
      </c>
      <c r="L29" s="12">
        <f t="shared" si="2"/>
        <v>30.56</v>
      </c>
    </row>
    <row r="30" spans="1:12">
      <c r="A30" s="9" t="s">
        <v>70</v>
      </c>
      <c r="B30" s="10" t="s">
        <v>67</v>
      </c>
      <c r="C30" s="10" t="s">
        <v>63</v>
      </c>
      <c r="D30" s="11">
        <v>61.5</v>
      </c>
      <c r="E30" s="11">
        <v>11.7</v>
      </c>
      <c r="F30" s="11">
        <v>35</v>
      </c>
      <c r="G30" s="11" t="s">
        <v>46</v>
      </c>
      <c r="H30" s="11">
        <v>8</v>
      </c>
      <c r="I30" s="11">
        <v>0</v>
      </c>
      <c r="J30" s="11">
        <v>77.5</v>
      </c>
      <c r="K30" s="11">
        <v>59.8</v>
      </c>
      <c r="L30" s="8">
        <f t="shared" si="2"/>
        <v>36.2142857142857</v>
      </c>
    </row>
    <row r="31" spans="1:12">
      <c r="A31" s="18" t="s">
        <v>71</v>
      </c>
      <c r="B31" s="19" t="s">
        <v>56</v>
      </c>
      <c r="C31" s="19" t="s">
        <v>72</v>
      </c>
      <c r="D31" s="20">
        <v>89</v>
      </c>
      <c r="E31" s="20">
        <v>70</v>
      </c>
      <c r="F31" s="20">
        <v>49.66</v>
      </c>
      <c r="G31" s="20">
        <v>50.9</v>
      </c>
      <c r="H31" s="20">
        <v>84</v>
      </c>
      <c r="I31" s="20">
        <v>26</v>
      </c>
      <c r="J31" s="20">
        <v>92.8</v>
      </c>
      <c r="K31" s="20">
        <v>78</v>
      </c>
      <c r="L31" s="8">
        <f t="shared" si="2"/>
        <v>67.545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sciyu</dc:creator>
  <cp:lastModifiedBy>Fangchen Yu</cp:lastModifiedBy>
  <dcterms:created xsi:type="dcterms:W3CDTF">2026-06-17T12:29:00Z</dcterms:created>
  <dcterms:modified xsi:type="dcterms:W3CDTF">2026-06-29T08:47:15Z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7CEFCD59A1A444B9A56835C48407ED77_11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